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9c724ee04e4b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专利索引" sheetId="1" r:id="Rd8af693e4d574886"/>
    <x:sheet xmlns:r="http://schemas.openxmlformats.org/officeDocument/2006/relationships" name="汇总" sheetId="2" r:id="R332505fdeb954d8a"/>
    <x:sheet xmlns:r="http://schemas.openxmlformats.org/officeDocument/2006/relationships" name="网站字段建议" sheetId="3" r:id="R5d0d7869a4904b8a"/>
    <x:sheet xmlns:r="http://schemas.openxmlformats.org/officeDocument/2006/relationships" name="数据说明" sheetId="4" r:id="Rb1ebdd0c972846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sz val="11"/>
      <x:color rgb="FF1F4E78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5B9BD5"/>
      </x:patternFill>
    </x:fill>
    <x:fill>
      <x:patternFill patternType="solid">
        <x:fgColor rgb="FFEAF2F8"/>
      </x:patternFill>
    </x:fill>
  </x:fills>
  <x:borders count="30">
    <x:border/>
    <x:border/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B4C6E7"/>
      </x:left>
      <x:top style="thin">
        <x:color rgb="FFB4C6E7"/>
      </x:top>
    </x:border>
    <x:border>
      <x:right style="thin">
        <x:color rgb="FFB4C6E7"/>
      </x:right>
      <x:top style="thin">
        <x:color rgb="FFB4C6E7"/>
      </x:top>
    </x:border>
    <x:border>
      <x:left style="thin">
        <x:color rgb="FFB4C6E7"/>
      </x:left>
    </x:border>
    <x:border>
      <x:right style="thin">
        <x:color rgb="FFB4C6E7"/>
      </x:right>
    </x:border>
    <x:border>
      <x:left style="thin">
        <x:color rgb="FFB4C6E7"/>
      </x:left>
      <x:bottom style="thin">
        <x:color rgb="FFB4C6E7"/>
      </x:bottom>
    </x:border>
    <x:border>
      <x:right style="thin">
        <x:color rgb="FFB4C6E7"/>
      </x:right>
      <x:bottom style="thin">
        <x:color rgb="FFB4C6E7"/>
      </x:bottom>
    </x:border>
    <x:border>
      <x:left style="thin">
        <x:color rgb="FFB4C6E7"/>
      </x:left>
      <x:top style="thin">
        <x:color rgb="FFB4C6E7"/>
      </x:top>
    </x:border>
    <x:border>
      <x:right style="thin">
        <x:color rgb="FFB4C6E7"/>
      </x:right>
      <x:top style="thin">
        <x:color rgb="FFB4C6E7"/>
      </x:top>
    </x:border>
    <x:border>
      <x:left style="thin">
        <x:color rgb="FFB4C6E7"/>
      </x:left>
    </x:border>
    <x:border>
      <x:right style="thin">
        <x:color rgb="FFB4C6E7"/>
      </x:right>
    </x:border>
    <x:border>
      <x:left style="thin">
        <x:color rgb="FFB4C6E7"/>
      </x:left>
      <x:bottom style="thin">
        <x:color rgb="FFB4C6E7"/>
      </x:bottom>
    </x:border>
    <x:border>
      <x:right style="thin">
        <x:color rgb="FFB4C6E7"/>
      </x:right>
      <x:bottom style="thin">
        <x:color rgb="FFB4C6E7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200" fontId="0" fillId="0" borderId="3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vertical="top" wrapText="1"/>
    </x:xf>
    <x:xf numFmtId="200" fontId="0" fillId="0" borderId="1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16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8" xfId="0" applyNumberFormat="1" applyFont="1" applyFill="1" applyBorder="1" applyAlignment="1">
      <x:alignment horizontal="center"/>
    </x:xf>
    <x:xf numFmtId="0" fontId="1" fillId="3" borderId="19" xfId="0" applyNumberFormat="1" applyFont="1" applyFill="1" applyBorder="1" applyAlignment="1">
      <x:alignment horizontal="center"/>
    </x:xf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1" fillId="3" borderId="24" xfId="0" applyNumberFormat="1" applyFont="1" applyFill="1" applyBorder="1" applyAlignment="1">
      <x:alignment horizontal="center"/>
    </x:xf>
    <x:xf numFmtId="0" fontId="1" fillId="3" borderId="25" xfId="0" applyNumberFormat="1" applyFont="1" applyFill="1" applyBorder="1" applyAlignment="1">
      <x:alignment horizontal="center"/>
    </x:xf>
    <x:xf numFmtId="0" fontId="0" fillId="0" borderId="26" xfId="0" applyNumberFormat="1" applyFont="1" applyFill="1" applyBorder="1"/>
    <x:xf numFmtId="0" fontId="0" fillId="0" borderId="27" xfId="0" applyNumberFormat="1" applyFont="1" applyFill="1" applyBorder="1"/>
    <x:xf numFmtId="0" fontId="0" fillId="0" borderId="28" xfId="0" applyNumberFormat="1" applyFont="1" applyFill="1" applyBorder="1"/>
    <x:xf numFmtId="0" fontId="0" fillId="0" borderId="29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D4ED8"/>
      </x:font>
      <x:fill>
        <x:patternFill patternType="solid">
          <x:bgColor rgb="FFEFF6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7ea30925004409" /><Relationship Type="http://schemas.openxmlformats.org/officeDocument/2006/relationships/theme" Target="/xl/theme/theme1.xml" Id="Ra2ad97a1adec4e9c" /><Relationship Type="http://schemas.openxmlformats.org/officeDocument/2006/relationships/sharedStrings" Target="/xl/sharedStrings.xml" Id="R0375f3049d434eb5" /><Relationship Type="http://schemas.openxmlformats.org/officeDocument/2006/relationships/worksheet" Target="/xl/worksheets/sheet1.xml" Id="Rd8af693e4d574886" /><Relationship Type="http://schemas.openxmlformats.org/officeDocument/2006/relationships/worksheet" Target="/xl/worksheets/sheet2.xml" Id="R332505fdeb954d8a" /><Relationship Type="http://schemas.openxmlformats.org/officeDocument/2006/relationships/worksheet" Target="/xl/worksheets/sheet3.xml" Id="R5d0d7869a4904b8a" /><Relationship Type="http://schemas.openxmlformats.org/officeDocument/2006/relationships/worksheet" Target="/xl/worksheets/sheet4.xml" Id="Rb1ebdd0c9728465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7d5866ef51a42d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按授权年份统计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数量</c:v>
          </c:tx>
          <c:cat>
            <c:strRef>
              <c:f>'汇总'!$D$4:$D$6</c:f>
              <c:strCache>
                <c:ptCount val="0"/>
              </c:strCache>
            </c:strRef>
          </c:cat>
          <c:val>
            <c:numRef>
              <c:f>'汇总'!$E$4:$E$6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7</xdr:row>
      <xdr:rowOff>0</xdr:rowOff>
    </xdr:from>
    <xdr:to>
      <xdr:col>10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7d5866ef51a42d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atentIndexTable" displayName="PatentIndexTable" ref="A1:Q16" headerRowCount="1">
  <x:tableColumns count="17">
    <x:tableColumn id="1" name="序号"/>
    <x:tableColumn id="2" name="Stable ID"/>
    <x:tableColumn id="3" name="专利类型"/>
    <x:tableColumn id="4" name="发明名称"/>
    <x:tableColumn id="5" name="证书号"/>
    <x:tableColumn id="6" name="专利号"/>
    <x:tableColumn id="7" name="申请日"/>
    <x:tableColumn id="8" name="授权公告日"/>
    <x:tableColumn id="9" name="授权年份"/>
    <x:tableColumn id="10" name="授权公告号"/>
    <x:tableColumn id="11" name="专利权人"/>
    <x:tableColumn id="12" name="发明人"/>
    <x:tableColumn id="13" name="发明人数"/>
    <x:tableColumn id="14" name="王战排序"/>
    <x:tableColumn id="15" name="本人角色"/>
    <x:tableColumn id="16" name="证书文件名"/>
    <x:tableColumn id="17" name="数据来源/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6cb0252d2c14ed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a6157fc1994e4950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12" hidden="0" customWidth="1"/>
    <x:col min="4" max="4" width="42" hidden="0" customWidth="1"/>
    <x:col min="5" max="5" width="13" hidden="0" customWidth="1"/>
    <x:col min="6" max="6" width="19" hidden="0" customWidth="1"/>
    <x:col min="7" max="7" width="13" hidden="0" customWidth="1"/>
    <x:col min="8" max="8" width="13" hidden="0" customWidth="1"/>
    <x:col min="9" max="9" width="10" hidden="0" customWidth="1"/>
    <x:col min="10" max="10" width="17" hidden="0" customWidth="1"/>
    <x:col min="11" max="11" width="48" hidden="0" customWidth="1"/>
    <x:col min="12" max="12" width="60" hidden="0" customWidth="1"/>
    <x:col min="13" max="13" width="10" hidden="0" customWidth="1"/>
    <x:col min="14" max="14" width="10" hidden="0" customWidth="1"/>
    <x:col min="15" max="15" width="13" hidden="0" customWidth="1"/>
    <x:col min="16" max="16" width="46" hidden="0" customWidth="1"/>
    <x:col min="17" max="17" width="42" hidden="0" customWidth="1"/>
  </x:cols>
  <x:sheetData>
    <x:row r="1" ht="38" customHeight="1">
      <x:c r="A1" s="6" t="str">
        <x:v>序号</x:v>
      </x:c>
      <x:c r="B1" s="6" t="str">
        <x:v>Stable ID</x:v>
      </x:c>
      <x:c r="C1" s="6" t="str">
        <x:v>专利类型</x:v>
      </x:c>
      <x:c r="D1" s="6" t="str">
        <x:v>发明名称</x:v>
      </x:c>
      <x:c r="E1" s="6" t="str">
        <x:v>证书号</x:v>
      </x:c>
      <x:c r="F1" s="6" t="str">
        <x:v>专利号</x:v>
      </x:c>
      <x:c r="G1" s="6" t="str">
        <x:v>申请日</x:v>
      </x:c>
      <x:c r="H1" s="6" t="str">
        <x:v>授权公告日</x:v>
      </x:c>
      <x:c r="I1" s="6" t="str">
        <x:v>授权年份</x:v>
      </x:c>
      <x:c r="J1" s="6" t="str">
        <x:v>授权公告号</x:v>
      </x:c>
      <x:c r="K1" s="6" t="str">
        <x:v>专利权人</x:v>
      </x:c>
      <x:c r="L1" s="6" t="str">
        <x:v>发明人</x:v>
      </x:c>
      <x:c r="M1" s="6" t="str">
        <x:v>发明人数</x:v>
      </x:c>
      <x:c r="N1" s="6" t="str">
        <x:v>王战排序</x:v>
      </x:c>
      <x:c r="O1" s="6" t="str">
        <x:v>本人角色</x:v>
      </x:c>
      <x:c r="P1" s="6" t="str">
        <x:v>证书文件名</x:v>
      </x:c>
      <x:c r="Q1" s="6" t="str">
        <x:v>数据来源/备注</x:v>
      </x:c>
    </x:row>
    <x:row r="2" ht="72" customHeight="1">
      <x:c r="A2" s="30" t="n">
        <x:v>1</x:v>
      </x:c>
      <x:c r="B2" s="31" t="str">
        <x:v>P2026-02</x:v>
      </x:c>
      <x:c r="C2" s="31" t="str">
        <x:v>发明专利</x:v>
      </x:c>
      <x:c r="D2" s="31" t="str">
        <x:v>一种搭载在巡视机器人上的异常声音检测方法</x:v>
      </x:c>
      <x:c r="E2" s="31" t="str">
        <x:v>第8961117号</x:v>
      </x:c>
      <x:c r="F2" s="31" t="str">
        <x:v>ZL202310625191.X</x:v>
      </x:c>
      <x:c r="G2" s="65" t="n">
        <x:v>45075</x:v>
      </x:c>
      <x:c r="H2" s="65" t="n">
        <x:v>46164</x:v>
      </x:c>
      <x:c r="I2" s="31" t="n">
        <x:v>2026</x:v>
      </x:c>
      <x:c r="J2" s="31" t="str">
        <x:v>CN116758937B</x:v>
      </x:c>
      <x:c r="K2" s="31" t="str">
        <x:v>浙江浙能数字科技有限公司；浙江大学</x:v>
      </x:c>
      <x:c r="L2" s="31" t="str">
        <x:v>王战；林清；何星慰；徐洁；李炳辰；王进；曹师好</x:v>
      </x:c>
      <x:c r="M2" s="31" t="n">
        <x:v>7</x:v>
      </x:c>
      <x:c r="N2" s="31" t="n">
        <x:v>1</x:v>
      </x:c>
      <x:c r="O2" s="31" t="str">
        <x:v>第一发明人</x:v>
      </x:c>
      <x:c r="P2" s="31" t="str">
        <x:v>一种搭载在巡视机器人上的异常声音检测方法.pdf</x:v>
      </x:c>
      <x:c r="Q2" s="32" t="str">
        <x:v>授权发明专利证书PDF</x:v>
      </x:c>
    </x:row>
    <x:row r="3" ht="72" customHeight="1">
      <x:c r="A3" s="33" t="n">
        <x:v>2</x:v>
      </x:c>
      <x:c r="B3" s="34" t="str">
        <x:v>P2026-01</x:v>
      </x:c>
      <x:c r="C3" s="34" t="str">
        <x:v>发明专利</x:v>
      </x:c>
      <x:c r="D3" s="34" t="str">
        <x:v>带限mCAP可见光通信系统子带数目调制方法</x:v>
      </x:c>
      <x:c r="E3" s="34" t="str">
        <x:v>第8805263号</x:v>
      </x:c>
      <x:c r="F3" s="34" t="str">
        <x:v>ZL202211179862.6</x:v>
      </x:c>
      <x:c r="G3" s="66" t="n">
        <x:v>44831</x:v>
      </x:c>
      <x:c r="H3" s="66" t="n">
        <x:v>46105</x:v>
      </x:c>
      <x:c r="I3" s="34" t="n">
        <x:v>2026</x:v>
      </x:c>
      <x:c r="J3" s="34" t="str">
        <x:v>CN115694636B</x:v>
      </x:c>
      <x:c r="K3" s="34" t="str">
        <x:v>浙江浙能兰溪发电有限责任公司；浙江浙能数字科技有限公司</x:v>
      </x:c>
      <x:c r="L3" s="34" t="str">
        <x:v>徐旭慧；沈明；仇煜；胡阳；王战；陈杰敏；闻邦；何星慰；徐洁</x:v>
      </x:c>
      <x:c r="M3" s="34" t="n">
        <x:v>9</x:v>
      </x:c>
      <x:c r="N3" s="34" t="n">
        <x:v>5</x:v>
      </x:c>
      <x:c r="O3" s="34" t="str">
        <x:v>共同发明人</x:v>
      </x:c>
      <x:c r="P3" s="34" t="str">
        <x:v>带限mCAP可见光通信系统子带数目调制方法.pdf</x:v>
      </x:c>
      <x:c r="Q3" s="35" t="str">
        <x:v>授权发明专利证书PDF</x:v>
      </x:c>
    </x:row>
    <x:row r="4" ht="72" customHeight="1">
      <x:c r="A4" s="33" t="n">
        <x:v>3</x:v>
      </x:c>
      <x:c r="B4" s="34" t="str">
        <x:v>P2025-05</x:v>
      </x:c>
      <x:c r="C4" s="34" t="str">
        <x:v>发明专利</x:v>
      </x:c>
      <x:c r="D4" s="34" t="str">
        <x:v>一种面向多智能体强化学习能源系统的鲁棒对抗训练框架</x:v>
      </x:c>
      <x:c r="E4" s="34" t="str">
        <x:v>第8531246号</x:v>
      </x:c>
      <x:c r="F4" s="34" t="str">
        <x:v>ZL202211516697.9</x:v>
      </x:c>
      <x:c r="G4" s="66" t="n">
        <x:v>44895</x:v>
      </x:c>
      <x:c r="H4" s="66" t="n">
        <x:v>45989</x:v>
      </x:c>
      <x:c r="I4" s="34" t="n">
        <x:v>2025</x:v>
      </x:c>
      <x:c r="J4" s="34" t="str">
        <x:v>CN116306903B</x:v>
      </x:c>
      <x:c r="K4" s="34" t="str">
        <x:v>浙江浙能乐清发电有限责任公司；浙江浙能数字科技有限公司</x:v>
      </x:c>
      <x:c r="L4" s="34" t="str">
        <x:v>陈永辉；刘轩驿；林彤；王战；李隆锋；陈双照；朱凌风；翁洪康</x:v>
      </x:c>
      <x:c r="M4" s="34" t="n">
        <x:v>8</x:v>
      </x:c>
      <x:c r="N4" s="34" t="n">
        <x:v>4</x:v>
      </x:c>
      <x:c r="O4" s="34" t="str">
        <x:v>共同发明人</x:v>
      </x:c>
      <x:c r="P4" s="34" t="str">
        <x:v>一种面向多智能体强化学习能源系统的鲁棒对抗训练框架.pdf</x:v>
      </x:c>
      <x:c r="Q4" s="35" t="str">
        <x:v>授权发明专利证书PDF</x:v>
      </x:c>
    </x:row>
    <x:row r="5" ht="72" customHeight="1">
      <x:c r="A5" s="33" t="n">
        <x:v>4</x:v>
      </x:c>
      <x:c r="B5" s="34" t="str">
        <x:v>P2025-04</x:v>
      </x:c>
      <x:c r="C5" s="34" t="str">
        <x:v>发明专利</x:v>
      </x:c>
      <x:c r="D5" s="34" t="str">
        <x:v>基于前馈神经网络的非合作未知物联网设备射频感知方法</x:v>
      </x:c>
      <x:c r="E5" s="34" t="str">
        <x:v>第8477790号</x:v>
      </x:c>
      <x:c r="F5" s="34" t="str">
        <x:v>ZL202411310207.9</x:v>
      </x:c>
      <x:c r="G5" s="66" t="n">
        <x:v>45554</x:v>
      </x:c>
      <x:c r="H5" s="66" t="n">
        <x:v>45975</x:v>
      </x:c>
      <x:c r="I5" s="34" t="n">
        <x:v>2025</x:v>
      </x:c>
      <x:c r="J5" s="34" t="str">
        <x:v>CN119233272B</x:v>
      </x:c>
      <x:c r="K5" s="34" t="str">
        <x:v>浙江大学</x:v>
      </x:c>
      <x:c r="L5" s="34" t="str">
        <x:v>周成伟；文思涵；贾晓燕；俞荣栋；王战；钟耀毅</x:v>
      </x:c>
      <x:c r="M5" s="34" t="n">
        <x:v>6</x:v>
      </x:c>
      <x:c r="N5" s="34" t="n">
        <x:v>5</x:v>
      </x:c>
      <x:c r="O5" s="34" t="str">
        <x:v>共同发明人</x:v>
      </x:c>
      <x:c r="P5" s="34" t="str">
        <x:v>基于前馈神经网络的非合作未知物联网设备射频感知方法.pdf</x:v>
      </x:c>
      <x:c r="Q5" s="35" t="str">
        <x:v>授权发明专利证书PDF</x:v>
      </x:c>
    </x:row>
    <x:row r="6" ht="72" customHeight="1">
      <x:c r="A6" s="33" t="n">
        <x:v>5</x:v>
      </x:c>
      <x:c r="B6" s="34" t="str">
        <x:v>P2025-03</x:v>
      </x:c>
      <x:c r="C6" s="34" t="str">
        <x:v>发明专利</x:v>
      </x:c>
      <x:c r="D6" s="34" t="str">
        <x:v>一种基于数字孪生的摘复钩AI精准识别抓取方法</x:v>
      </x:c>
      <x:c r="E6" s="34" t="str">
        <x:v>第8449840号</x:v>
      </x:c>
      <x:c r="F6" s="34" t="str">
        <x:v>ZL202310693761.9</x:v>
      </x:c>
      <x:c r="G6" s="66" t="n">
        <x:v>45090</x:v>
      </x:c>
      <x:c r="H6" s="66" t="n">
        <x:v>45968</x:v>
      </x:c>
      <x:c r="I6" s="34" t="n">
        <x:v>2025</x:v>
      </x:c>
      <x:c r="J6" s="34" t="str">
        <x:v>CN116612366B</x:v>
      </x:c>
      <x:c r="K6" s="34" t="str">
        <x:v>浙能阿克苏热电有限公司；浙江浙能数字科技有限公司</x:v>
      </x:c>
      <x:c r="L6" s="34" t="str">
        <x:v>郭向健；孙晖；徐朔文；王丹；刘昱达；白永全；党兆丛；潘多田；王战；陈全杰；骆洲</x:v>
      </x:c>
      <x:c r="M6" s="34" t="n">
        <x:v>11</x:v>
      </x:c>
      <x:c r="N6" s="34" t="n">
        <x:v>9</x:v>
      </x:c>
      <x:c r="O6" s="34" t="str">
        <x:v>共同发明人</x:v>
      </x:c>
      <x:c r="P6" s="34" t="str">
        <x:v>一种基于数字孪生的摘复钩AI精准识别抓取方法.pdf</x:v>
      </x:c>
      <x:c r="Q6" s="35" t="str">
        <x:v>授权发明专利证书PDF</x:v>
      </x:c>
    </x:row>
    <x:row r="7" ht="72" customHeight="1">
      <x:c r="A7" s="33" t="n">
        <x:v>6</x:v>
      </x:c>
      <x:c r="B7" s="34" t="str">
        <x:v>P2025-02</x:v>
      </x:c>
      <x:c r="C7" s="34" t="str">
        <x:v>发明专利</x:v>
      </x:c>
      <x:c r="D7" s="34" t="str">
        <x:v>一种电机声音频谱提取及可视化方法</x:v>
      </x:c>
      <x:c r="E7" s="34" t="str">
        <x:v>第8096954号</x:v>
      </x:c>
      <x:c r="F7" s="34" t="str">
        <x:v>ZL202310392106.X</x:v>
      </x:c>
      <x:c r="G7" s="66" t="n">
        <x:v>45029</x:v>
      </x:c>
      <x:c r="H7" s="66" t="n">
        <x:v>45860</x:v>
      </x:c>
      <x:c r="I7" s="34" t="n">
        <x:v>2025</x:v>
      </x:c>
      <x:c r="J7" s="34" t="str">
        <x:v>CN116469408B</x:v>
      </x:c>
      <x:c r="K7" s="34" t="str">
        <x:v>浙江浙能嘉华发电有限公司；浙江浙能数字科技有限公司</x:v>
      </x:c>
      <x:c r="L7" s="34" t="str">
        <x:v>雷浩；沙万里；蒋宇轩；何天骄；王战；何星慰；林清；闻邦</x:v>
      </x:c>
      <x:c r="M7" s="34" t="n">
        <x:v>8</x:v>
      </x:c>
      <x:c r="N7" s="34" t="n">
        <x:v>5</x:v>
      </x:c>
      <x:c r="O7" s="34" t="str">
        <x:v>共同发明人</x:v>
      </x:c>
      <x:c r="P7" s="34" t="str">
        <x:v>一种电机声音频谱提取及可视化方法.pdf</x:v>
      </x:c>
      <x:c r="Q7" s="35" t="str">
        <x:v>授权发明专利证书PDF</x:v>
      </x:c>
    </x:row>
    <x:row r="8" ht="72" customHeight="1">
      <x:c r="A8" s="33" t="n">
        <x:v>7</x:v>
      </x:c>
      <x:c r="B8" s="34" t="str">
        <x:v>P2025-01</x:v>
      </x:c>
      <x:c r="C8" s="34" t="str">
        <x:v>发明专利</x:v>
      </x:c>
      <x:c r="D8" s="34" t="str">
        <x:v>一种基于平面间几何结构的回环检测方法</x:v>
      </x:c>
      <x:c r="E8" s="34" t="str">
        <x:v>第8018004号</x:v>
      </x:c>
      <x:c r="F8" s="34" t="str">
        <x:v>ZL202510139586.8</x:v>
      </x:c>
      <x:c r="G8" s="66" t="n">
        <x:v>45696</x:v>
      </x:c>
      <x:c r="H8" s="66" t="n">
        <x:v>45832</x:v>
      </x:c>
      <x:c r="I8" s="34" t="n">
        <x:v>2025</x:v>
      </x:c>
      <x:c r="J8" s="34" t="str">
        <x:v>CN119579625B</x:v>
      </x:c>
      <x:c r="K8" s="34" t="str">
        <x:v>浙江理工大学</x:v>
      </x:c>
      <x:c r="L8" s="34" t="str">
        <x:v>杨承霖；李秦川；徐雅斌；王伟；王战</x:v>
      </x:c>
      <x:c r="M8" s="34" t="n">
        <x:v>5</x:v>
      </x:c>
      <x:c r="N8" s="34" t="n">
        <x:v>5</x:v>
      </x:c>
      <x:c r="O8" s="34" t="str">
        <x:v>共同发明人</x:v>
      </x:c>
      <x:c r="P8" s="34" t="str">
        <x:v>一种基于平面间几何结构的回环检测方法.pdf</x:v>
      </x:c>
      <x:c r="Q8" s="35" t="str">
        <x:v>授权发明专利证书PDF</x:v>
      </x:c>
    </x:row>
    <x:row r="9" ht="72" customHeight="1">
      <x:c r="A9" s="33" t="n">
        <x:v>8</x:v>
      </x:c>
      <x:c r="B9" s="34" t="str">
        <x:v>P2024-08</x:v>
      </x:c>
      <x:c r="C9" s="34" t="str">
        <x:v>发明专利</x:v>
      </x:c>
      <x:c r="D9" s="34" t="str">
        <x:v>一种矿用载波通讯一氧化碳检测器</x:v>
      </x:c>
      <x:c r="E9" s="34" t="str">
        <x:v>第7620847号</x:v>
      </x:c>
      <x:c r="F9" s="34" t="str">
        <x:v>ZL202411288338.1</x:v>
      </x:c>
      <x:c r="G9" s="66" t="n">
        <x:v>45549</x:v>
      </x:c>
      <x:c r="H9" s="66" t="n">
        <x:v>45650</x:v>
      </x:c>
      <x:c r="I9" s="34" t="n">
        <x:v>2024</x:v>
      </x:c>
      <x:c r="J9" s="34" t="str">
        <x:v>CN118795100B</x:v>
      </x:c>
      <x:c r="K9" s="34" t="str">
        <x:v>浙江浙能数字科技有限公司</x:v>
      </x:c>
      <x:c r="L9" s="34" t="str">
        <x:v>王昭然；贾晓燕；孙文江；俞荣栋；王战；钟耀毅；周郅皓；何星慰</x:v>
      </x:c>
      <x:c r="M9" s="34" t="n">
        <x:v>8</x:v>
      </x:c>
      <x:c r="N9" s="34" t="n">
        <x:v>5</x:v>
      </x:c>
      <x:c r="O9" s="34" t="str">
        <x:v>共同发明人</x:v>
      </x:c>
      <x:c r="P9" s="34" t="str">
        <x:v>一种矿用载波通讯一氧化碳检测器.pdf</x:v>
      </x:c>
      <x:c r="Q9" s="35" t="str">
        <x:v>授权发明专利证书PDF</x:v>
      </x:c>
    </x:row>
    <x:row r="10" ht="72" customHeight="1">
      <x:c r="A10" s="33" t="n">
        <x:v>9</x:v>
      </x:c>
      <x:c r="B10" s="34" t="str">
        <x:v>P2024-07</x:v>
      </x:c>
      <x:c r="C10" s="34" t="str">
        <x:v>发明专利</x:v>
      </x:c>
      <x:c r="D10" s="34" t="str">
        <x:v>增强安全性摘复钩机器人系统及控制方法</x:v>
      </x:c>
      <x:c r="E10" s="34" t="str">
        <x:v>第7186216号</x:v>
      </x:c>
      <x:c r="F10" s="34" t="str">
        <x:v>ZL202410501170.1</x:v>
      </x:c>
      <x:c r="G10" s="66" t="n">
        <x:v>45407</x:v>
      </x:c>
      <x:c r="H10" s="66" t="n">
        <x:v>45485</x:v>
      </x:c>
      <x:c r="I10" s="34" t="n">
        <x:v>2024</x:v>
      </x:c>
      <x:c r="J10" s="34" t="str">
        <x:v>CN118081800B</x:v>
      </x:c>
      <x:c r="K10" s="34" t="str">
        <x:v>浙江浙能数字科技有限公司</x:v>
      </x:c>
      <x:c r="L10" s="34" t="str">
        <x:v>骆洲；王战；俞荣栋；何星慰；陈杰敏；郭鼎；李帅；徐洁</x:v>
      </x:c>
      <x:c r="M10" s="34" t="n">
        <x:v>8</x:v>
      </x:c>
      <x:c r="N10" s="34" t="n">
        <x:v>2</x:v>
      </x:c>
      <x:c r="O10" s="34" t="str">
        <x:v>共同发明人</x:v>
      </x:c>
      <x:c r="P10" s="34" t="str">
        <x:v>增强安全性摘复钩机器人系统及控制方法.pdf</x:v>
      </x:c>
      <x:c r="Q10" s="35" t="str">
        <x:v>授权发明专利证书PDF</x:v>
      </x:c>
    </x:row>
    <x:row r="11" ht="72" customHeight="1">
      <x:c r="A11" s="33" t="n">
        <x:v>10</x:v>
      </x:c>
      <x:c r="B11" s="34" t="str">
        <x:v>P2024-06</x:v>
      </x:c>
      <x:c r="C11" s="34" t="str">
        <x:v>发明专利</x:v>
      </x:c>
      <x:c r="D11" s="34" t="str">
        <x:v>基于激光雷达的车厢检测预警装置及方法</x:v>
      </x:c>
      <x:c r="E11" s="34" t="str">
        <x:v>第7102449号</x:v>
      </x:c>
      <x:c r="F11" s="34" t="str">
        <x:v>ZL202410396259.6</x:v>
      </x:c>
      <x:c r="G11" s="66" t="n">
        <x:v>45385</x:v>
      </x:c>
      <x:c r="H11" s="66" t="n">
        <x:v>45457</x:v>
      </x:c>
      <x:c r="I11" s="34" t="n">
        <x:v>2024</x:v>
      </x:c>
      <x:c r="J11" s="34" t="str">
        <x:v>CN117991288B</x:v>
      </x:c>
      <x:c r="K11" s="34" t="str">
        <x:v>浙江浙能数字科技有限公司</x:v>
      </x:c>
      <x:c r="L11" s="34" t="str">
        <x:v>王战；骆洲；孟瑜炜；鲁鼎；周郅皓；陈杰敏；高峰</x:v>
      </x:c>
      <x:c r="M11" s="34" t="n">
        <x:v>7</x:v>
      </x:c>
      <x:c r="N11" s="34" t="n">
        <x:v>1</x:v>
      </x:c>
      <x:c r="O11" s="34" t="str">
        <x:v>第一发明人</x:v>
      </x:c>
      <x:c r="P11" s="34" t="str">
        <x:v>基于激光雷达的车厢检测预警装置及方法.pdf</x:v>
      </x:c>
      <x:c r="Q11" s="35" t="str">
        <x:v>授权发明专利证书PDF</x:v>
      </x:c>
    </x:row>
    <x:row r="12" ht="72" customHeight="1">
      <x:c r="A12" s="33" t="n">
        <x:v>11</x:v>
      </x:c>
      <x:c r="B12" s="34" t="str">
        <x:v>P2024-05</x:v>
      </x:c>
      <x:c r="C12" s="34" t="str">
        <x:v>发明专利</x:v>
      </x:c>
      <x:c r="D12" s="34" t="str">
        <x:v>基于视觉的翻车机入口轨道异常检测装置及方法</x:v>
      </x:c>
      <x:c r="E12" s="34" t="str">
        <x:v>第7073956号</x:v>
      </x:c>
      <x:c r="F12" s="34" t="str">
        <x:v>ZL202410398164.8</x:v>
      </x:c>
      <x:c r="G12" s="66" t="n">
        <x:v>45385</x:v>
      </x:c>
      <x:c r="H12" s="66" t="n">
        <x:v>45450</x:v>
      </x:c>
      <x:c r="I12" s="34" t="n">
        <x:v>2024</x:v>
      </x:c>
      <x:c r="J12" s="34" t="str">
        <x:v>CN117994753B</x:v>
      </x:c>
      <x:c r="K12" s="34" t="str">
        <x:v>浙江浙能数字科技有限公司</x:v>
      </x:c>
      <x:c r="L12" s="34" t="str">
        <x:v>王战；骆洲；俞荣栋；闻邦；李炳辰；张英驰；韩昊一</x:v>
      </x:c>
      <x:c r="M12" s="34" t="n">
        <x:v>7</x:v>
      </x:c>
      <x:c r="N12" s="34" t="n">
        <x:v>1</x:v>
      </x:c>
      <x:c r="O12" s="34" t="str">
        <x:v>第一发明人</x:v>
      </x:c>
      <x:c r="P12" s="34" t="str">
        <x:v>基于视觉的翻车机入口轨道异常检测装置及方法.pdf</x:v>
      </x:c>
      <x:c r="Q12" s="35" t="str">
        <x:v>授权发明专利证书PDF</x:v>
      </x:c>
    </x:row>
    <x:row r="13" ht="72" customHeight="1">
      <x:c r="A13" s="33" t="n">
        <x:v>12</x:v>
      </x:c>
      <x:c r="B13" s="34" t="str">
        <x:v>P2024-04</x:v>
      </x:c>
      <x:c r="C13" s="34" t="str">
        <x:v>发明专利</x:v>
      </x:c>
      <x:c r="D13" s="34" t="str">
        <x:v>基于图像识别的车厢溜车检测装置及方法</x:v>
      </x:c>
      <x:c r="E13" s="34" t="str">
        <x:v>第7072563号</x:v>
      </x:c>
      <x:c r="F13" s="34" t="str">
        <x:v>ZL202410398163.3</x:v>
      </x:c>
      <x:c r="G13" s="66" t="n">
        <x:v>45385</x:v>
      </x:c>
      <x:c r="H13" s="66" t="n">
        <x:v>45450</x:v>
      </x:c>
      <x:c r="I13" s="34" t="n">
        <x:v>2024</x:v>
      </x:c>
      <x:c r="J13" s="34" t="str">
        <x:v>CN117985489B</x:v>
      </x:c>
      <x:c r="K13" s="34" t="str">
        <x:v>浙江浙能数字科技有限公司</x:v>
      </x:c>
      <x:c r="L13" s="34" t="str">
        <x:v>王战；骆洲；贾晓燕；鲁鼎；何星慰；田好雨；钟耀毅</x:v>
      </x:c>
      <x:c r="M13" s="34" t="n">
        <x:v>7</x:v>
      </x:c>
      <x:c r="N13" s="34" t="n">
        <x:v>1</x:v>
      </x:c>
      <x:c r="O13" s="34" t="str">
        <x:v>第一发明人</x:v>
      </x:c>
      <x:c r="P13" s="34" t="str">
        <x:v>基于图像识别的车厢溜车检测装置及方法2024103981633.pdf</x:v>
      </x:c>
      <x:c r="Q13" s="35" t="str">
        <x:v>授权发明专利证书PDF</x:v>
      </x:c>
    </x:row>
    <x:row r="14" ht="72" customHeight="1">
      <x:c r="A14" s="33" t="n">
        <x:v>13</x:v>
      </x:c>
      <x:c r="B14" s="34" t="str">
        <x:v>P2024-03</x:v>
      </x:c>
      <x:c r="C14" s="34" t="str">
        <x:v>发明专利</x:v>
      </x:c>
      <x:c r="D14" s="34" t="str">
        <x:v>带限OFDM可见光通信系统二维双模索引调制方法</x:v>
      </x:c>
      <x:c r="E14" s="34" t="str">
        <x:v>第7013204号</x:v>
      </x:c>
      <x:c r="F14" s="34" t="str">
        <x:v>ZL202211186585.1</x:v>
      </x:c>
      <x:c r="G14" s="66" t="n">
        <x:v>44831</x:v>
      </x:c>
      <x:c r="H14" s="66" t="n">
        <x:v>45429</x:v>
      </x:c>
      <x:c r="I14" s="34" t="n">
        <x:v>2024</x:v>
      </x:c>
      <x:c r="J14" s="34" t="str">
        <x:v>CN115695130B</x:v>
      </x:c>
      <x:c r="K14" s="34" t="str">
        <x:v>浙江浙能兰溪发电有限责任公司；浙江浙能数字科技有限公司</x:v>
      </x:c>
      <x:c r="L14" s="34" t="str">
        <x:v>沈明；徐旭慧；仇煜；胡阳；王战；陈杰敏；闻邦；周郅皓；林清</x:v>
      </x:c>
      <x:c r="M14" s="34" t="n">
        <x:v>9</x:v>
      </x:c>
      <x:c r="N14" s="34" t="n">
        <x:v>5</x:v>
      </x:c>
      <x:c r="O14" s="34" t="str">
        <x:v>共同发明人</x:v>
      </x:c>
      <x:c r="P14" s="34" t="str">
        <x:v>带限OFDM可见光通信系统二维双模索引调制方法发明专利证书.pdf</x:v>
      </x:c>
      <x:c r="Q14" s="35" t="str">
        <x:v>授权发明专利证书PDF</x:v>
      </x:c>
    </x:row>
    <x:row r="15" ht="72" customHeight="1">
      <x:c r="A15" s="33" t="n">
        <x:v>14</x:v>
      </x:c>
      <x:c r="B15" s="34" t="str">
        <x:v>P2024-02</x:v>
      </x:c>
      <x:c r="C15" s="34" t="str">
        <x:v>发明专利</x:v>
      </x:c>
      <x:c r="D15" s="34" t="str">
        <x:v>基于自适应控制的水下机器人巡游搜索与抓取方法、系统</x:v>
      </x:c>
      <x:c r="E15" s="34" t="str">
        <x:v>第6998498号</x:v>
      </x:c>
      <x:c r="F15" s="34" t="str">
        <x:v>ZL202310778064.3</x:v>
      </x:c>
      <x:c r="G15" s="66" t="n">
        <x:v>45105</x:v>
      </x:c>
      <x:c r="H15" s="66" t="n">
        <x:v>45426</x:v>
      </x:c>
      <x:c r="I15" s="34" t="n">
        <x:v>2024</x:v>
      </x:c>
      <x:c r="J15" s="34" t="str">
        <x:v>CN117055586B</x:v>
      </x:c>
      <x:c r="K15" s="34" t="str">
        <x:v>中国科学院自动化研究所；浙江浙能数字科技有限公司；中国电子产品可靠性与环境试验研究所（（工业和信息化部电子第五研究所）（中国赛宝实验室））</x:v>
      </x:c>
      <x:c r="L15" s="34" t="str">
        <x:v>王宇；吕家启；王硕；谭民；王战；李骞；刘文威</x:v>
      </x:c>
      <x:c r="M15" s="34" t="n">
        <x:v>7</x:v>
      </x:c>
      <x:c r="N15" s="34" t="n">
        <x:v>5</x:v>
      </x:c>
      <x:c r="O15" s="34" t="str">
        <x:v>共同发明人</x:v>
      </x:c>
      <x:c r="P15" s="34" t="str">
        <x:v>基于自适应控制的水下机器人巡游搜索与抓取方法、系统.pdf</x:v>
      </x:c>
      <x:c r="Q15" s="35" t="str">
        <x:v>授权发明专利证书PDF；第三专利权人名称按证书原文保留</x:v>
      </x:c>
    </x:row>
    <x:row r="16" ht="72" customHeight="1">
      <x:c r="A16" s="36" t="n">
        <x:v>15</x:v>
      </x:c>
      <x:c r="B16" s="37" t="str">
        <x:v>P2024-01</x:v>
      </x:c>
      <x:c r="C16" s="37" t="str">
        <x:v>发明专利</x:v>
      </x:c>
      <x:c r="D16" s="37" t="str">
        <x:v>一种用于电厂巡检的机器人</x:v>
      </x:c>
      <x:c r="E16" s="37" t="str">
        <x:v>第6876573号</x:v>
      </x:c>
      <x:c r="F16" s="37" t="str">
        <x:v>ZL202210883306.0</x:v>
      </x:c>
      <x:c r="G16" s="67" t="n">
        <x:v>44768</x:v>
      </x:c>
      <x:c r="H16" s="67" t="n">
        <x:v>45391</x:v>
      </x:c>
      <x:c r="I16" s="37" t="n">
        <x:v>2024</x:v>
      </x:c>
      <x:c r="J16" s="37" t="str">
        <x:v>CN115241594B</x:v>
      </x:c>
      <x:c r="K16" s="37" t="str">
        <x:v>浙江浙能嘉华发电有限公司；浙江浙能数字科技有限公司</x:v>
      </x:c>
      <x:c r="L16" s="37" t="str">
        <x:v>吴孚辉；雷浩；陈跃明；孙洪雷；王战；徐洁；林清；陈万楷</x:v>
      </x:c>
      <x:c r="M16" s="37" t="n">
        <x:v>8</x:v>
      </x:c>
      <x:c r="N16" s="37" t="n">
        <x:v>5</x:v>
      </x:c>
      <x:c r="O16" s="37" t="str">
        <x:v>共同发明人</x:v>
      </x:c>
      <x:c r="P16" s="37" t="str">
        <x:v>一种用于电厂巡检的机器人-发明专利证书.pdf</x:v>
      </x:c>
      <x:c r="Q16" s="38" t="str">
        <x:v>授权发明专利证书PDF</x:v>
      </x:c>
    </x:row>
  </x:sheetData>
  <x:conditionalFormatting sqref="O2:O16">
    <x:cfRule type="expression" dxfId="0" priority="1">
      <x:formula>O2="第一发明人"</x:formula>
    </x:cfRule>
  </x:conditionalFormatting>
  <x:conditionalFormatting sqref="B2:B16">
    <x:cfRule type="expression" dxfId="1" priority="2">
      <x:formula>B2&lt;&gt;""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6cb0252d2c14ed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3" hidden="0" customWidth="1"/>
    <x:col min="4" max="4" width="14" hidden="0" customWidth="1"/>
    <x:col min="5" max="5" width="12" hidden="0" customWidth="1"/>
  </x:cols>
  <x:sheetData>
    <x:row r="1" ht="32" customHeight="1">
      <x:c r="A1" s="73" t="str">
        <x:v>授权发明专利索引汇总</x:v>
      </x:c>
      <x:c r="B1" s="73"/>
      <x:c r="C1" s="73"/>
      <x:c r="D1" s="73"/>
      <x:c r="E1" s="73"/>
      <x:c r="F1" s="73"/>
    </x:row>
    <x:row r="3">
      <x:c r="A3" s="83" t="str">
        <x:v>指标</x:v>
      </x:c>
      <x:c r="B3" s="84" t="str">
        <x:v>数量</x:v>
      </x:c>
      <x:c r="D3" s="83" t="str">
        <x:v>授权年份</x:v>
      </x:c>
      <x:c r="E3" s="84" t="str">
        <x:v>数量</x:v>
      </x:c>
    </x:row>
    <x:row r="4">
      <x:c r="A4" s="85" t="str">
        <x:v>授权发明专利总数</x:v>
      </x:c>
      <x:c r="B4" s="86" t="n">
        <x:f>COUNTA('专利索引'!B2:B16)</x:f>
        <x:v>15</x:v>
      </x:c>
      <x:c r="D4" s="85" t="n">
        <x:v>2024</x:v>
      </x:c>
      <x:c r="E4" s="86" t="n">
        <x:f>COUNTIF('专利索引'!I2:I16,2024)</x:f>
        <x:v>8</x:v>
      </x:c>
    </x:row>
    <x:row r="5">
      <x:c r="A5" s="85" t="str">
        <x:v>第一发明人专利</x:v>
      </x:c>
      <x:c r="B5" s="86" t="n">
        <x:f>COUNTIF('专利索引'!O2:O16,"第一发明人")</x:f>
        <x:v>4</x:v>
      </x:c>
      <x:c r="D5" s="85" t="n">
        <x:v>2025</x:v>
      </x:c>
      <x:c r="E5" s="86" t="n">
        <x:f>COUNTIF('专利索引'!I2:I16,2025)</x:f>
        <x:v>5</x:v>
      </x:c>
    </x:row>
    <x:row r="6">
      <x:c r="A6" s="85" t="str">
        <x:v>共同发明人专利</x:v>
      </x:c>
      <x:c r="B6" s="86" t="n">
        <x:f>COUNTIF('专利索引'!O2:O16,"共同发明人")</x:f>
        <x:v>11</x:v>
      </x:c>
      <x:c r="D6" s="87" t="n">
        <x:v>2026</x:v>
      </x:c>
      <x:c r="E6" s="88" t="n">
        <x:f>COUNTIF('专利索引'!I2:I16,2026)</x:f>
        <x:v>2</x:v>
      </x:c>
    </x:row>
    <x:row r="7">
      <x:c r="A7" s="85" t="str">
        <x:v>2024年授权</x:v>
      </x:c>
      <x:c r="B7" s="86" t="n">
        <x:f>COUNTIF('专利索引'!I2:I16,2024)</x:f>
        <x:v>8</x:v>
      </x:c>
    </x:row>
    <x:row r="8">
      <x:c r="A8" s="85" t="str">
        <x:v>2025年授权</x:v>
      </x:c>
      <x:c r="B8" s="86" t="n">
        <x:f>COUNTIF('专利索引'!I2:I16,2025)</x:f>
        <x:v>5</x:v>
      </x:c>
    </x:row>
    <x:row r="9">
      <x:c r="A9" s="85" t="str">
        <x:v>2026年授权</x:v>
      </x:c>
      <x:c r="B9" s="86" t="n">
        <x:f>COUNTIF('专利索引'!I2:I16,2026)</x:f>
        <x:v>2</x:v>
      </x:c>
    </x:row>
    <x:row r="10">
      <x:c r="A10" s="87" t="str">
        <x:v>含浙能数科为专利权人</x:v>
      </x:c>
      <x:c r="B10" s="88" t="n">
        <x:v>13</x:v>
      </x:c>
    </x:row>
    <x:row r="13">
      <x:c r="A13" s="98" t="str">
        <x:v>当前文件库索引检索到15份唯一的授权发明专利证书。Stable ID按授权年份及当年授权日期升序编排，用于后续网站数据管理；未来新增专利按当年下一个未占用序号递增。</x:v>
      </x:c>
      <x:c r="B13" s="98"/>
    </x:row>
    <x:row r="14">
      <x:c r="A14" s="98"/>
      <x:c r="B14" s="98"/>
    </x:row>
    <x:row r="15">
      <x:c r="A15" s="98"/>
      <x:c r="B15" s="98"/>
    </x:row>
    <x:row r="16">
      <x:c r="A16" s="98"/>
      <x:c r="B16" s="98"/>
    </x:row>
    <x:row r="17">
      <x:c r="A17" s="98"/>
      <x:c r="B17" s="98"/>
    </x:row>
  </x:sheetData>
  <x:mergeCells>
    <x:mergeCell ref="A1:F1"/>
    <x:mergeCell ref="A13:B17"/>
  </x:mergeCells>
  <x:pageMargins left="0.7" right="0.7" top="0.75" bottom="0.75" header="0.3" footer="0.3"/>
  <x:drawing xmlns:r="http://schemas.openxmlformats.org/officeDocument/2006/relationships" r:id="Ra6157fc1994e4950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16" hidden="0" customWidth="1"/>
    <x:col min="4" max="4" width="65" hidden="0" customWidth="1"/>
  </x:cols>
  <x:sheetData>
    <x:row r="1">
      <x:c r="A1" s="104" t="str">
        <x:v>字段</x:v>
      </x:c>
      <x:c r="B1" s="104" t="str">
        <x:v>建议键名</x:v>
      </x:c>
      <x:c r="C1" s="104" t="str">
        <x:v>页面展示</x:v>
      </x:c>
      <x:c r="D1" s="104" t="str">
        <x:v>说明</x:v>
      </x:c>
    </x:row>
    <x:row r="2">
      <x:c r="A2" s="30" t="str">
        <x:v>Stable ID</x:v>
      </x:c>
      <x:c r="B2" s="31" t="str">
        <x:v>stable_id</x:v>
      </x:c>
      <x:c r="C2" s="31" t="str">
        <x:v>否/后台</x:v>
      </x:c>
      <x:c r="D2" s="32" t="str">
        <x:v>建议采用PYYYY-NN；已在索引中预分配</x:v>
      </x:c>
    </x:row>
    <x:row r="3">
      <x:c r="A3" s="33" t="str">
        <x:v>发明名称</x:v>
      </x:c>
      <x:c r="B3" s="34" t="str">
        <x:v>title</x:v>
      </x:c>
      <x:c r="C3" s="34" t="str">
        <x:v>是</x:v>
      </x:c>
      <x:c r="D3" s="35" t="str">
        <x:v>详情页主标题</x:v>
      </x:c>
    </x:row>
    <x:row r="4">
      <x:c r="A4" s="33" t="str">
        <x:v>专利类型</x:v>
      </x:c>
      <x:c r="B4" s="34" t="str">
        <x:v>patent_type</x:v>
      </x:c>
      <x:c r="C4" s="34" t="str">
        <x:v>是</x:v>
      </x:c>
      <x:c r="D4" s="35" t="str">
        <x:v>当前均为发明专利</x:v>
      </x:c>
    </x:row>
    <x:row r="5">
      <x:c r="A5" s="33" t="str">
        <x:v>证书号</x:v>
      </x:c>
      <x:c r="B5" s="34" t="str">
        <x:v>certificate_number</x:v>
      </x:c>
      <x:c r="C5" s="34" t="str">
        <x:v>是</x:v>
      </x:c>
      <x:c r="D5" s="35" t="str">
        <x:v>如第8961117号</x:v>
      </x:c>
    </x:row>
    <x:row r="6">
      <x:c r="A6" s="33" t="str">
        <x:v>专利号</x:v>
      </x:c>
      <x:c r="B6" s="34" t="str">
        <x:v>patent_number</x:v>
      </x:c>
      <x:c r="C6" s="34" t="str">
        <x:v>是</x:v>
      </x:c>
      <x:c r="D6" s="35" t="str">
        <x:v>唯一主键之一</x:v>
      </x:c>
    </x:row>
    <x:row r="7">
      <x:c r="A7" s="33" t="str">
        <x:v>申请日</x:v>
      </x:c>
      <x:c r="B7" s="34" t="str">
        <x:v>application_date</x:v>
      </x:c>
      <x:c r="C7" s="34" t="str">
        <x:v>是</x:v>
      </x:c>
      <x:c r="D7" s="35" t="str">
        <x:v>按证书原文</x:v>
      </x:c>
    </x:row>
    <x:row r="8">
      <x:c r="A8" s="33" t="str">
        <x:v>授权公告日</x:v>
      </x:c>
      <x:c r="B8" s="34" t="str">
        <x:v>grant_date</x:v>
      </x:c>
      <x:c r="C8" s="34" t="str">
        <x:v>是</x:v>
      </x:c>
      <x:c r="D8" s="35" t="str">
        <x:v>列表排序主字段</x:v>
      </x:c>
    </x:row>
    <x:row r="9">
      <x:c r="A9" s="33" t="str">
        <x:v>授权公告号</x:v>
      </x:c>
      <x:c r="B9" s="34" t="str">
        <x:v>grant_publication_number</x:v>
      </x:c>
      <x:c r="C9" s="34" t="str">
        <x:v>是</x:v>
      </x:c>
      <x:c r="D9" s="35" t="str">
        <x:v>如CN116758937B</x:v>
      </x:c>
    </x:row>
    <x:row r="10">
      <x:c r="A10" s="33" t="str">
        <x:v>专利权人</x:v>
      </x:c>
      <x:c r="B10" s="34" t="str">
        <x:v>patentees</x:v>
      </x:c>
      <x:c r="C10" s="34" t="str">
        <x:v>是</x:v>
      </x:c>
      <x:c r="D10" s="35" t="str">
        <x:v>建议数组形式</x:v>
      </x:c>
    </x:row>
    <x:row r="11">
      <x:c r="A11" s="33" t="str">
        <x:v>发明人</x:v>
      </x:c>
      <x:c r="B11" s="34" t="str">
        <x:v>inventors</x:v>
      </x:c>
      <x:c r="C11" s="34" t="str">
        <x:v>是</x:v>
      </x:c>
      <x:c r="D11" s="35" t="str">
        <x:v>建议数组形式并突出王战</x:v>
      </x:c>
    </x:row>
    <x:row r="12">
      <x:c r="A12" s="33" t="str">
        <x:v>本人排序</x:v>
      </x:c>
      <x:c r="B12" s="34" t="str">
        <x:v>owner_inventor_rank</x:v>
      </x:c>
      <x:c r="C12" s="34" t="str">
        <x:v>可选</x:v>
      </x:c>
      <x:c r="D12" s="35" t="str">
        <x:v>用于第一发明人筛选</x:v>
      </x:c>
    </x:row>
    <x:row r="13">
      <x:c r="A13" s="33" t="str">
        <x:v>首页推荐</x:v>
      </x:c>
      <x:c r="B13" s="34" t="str">
        <x:v>featured</x:v>
      </x:c>
      <x:c r="C13" s="34" t="str">
        <x:v>否/可选</x:v>
      </x:c>
      <x:c r="D13" s="35" t="str">
        <x:v>默认false</x:v>
      </x:c>
    </x:row>
    <x:row r="14">
      <x:c r="A14" s="33" t="str">
        <x:v>数据状态</x:v>
      </x:c>
      <x:c r="B14" s="34" t="str">
        <x:v>metadata_status</x:v>
      </x:c>
      <x:c r="C14" s="34" t="str">
        <x:v>否/后台</x:v>
      </x:c>
      <x:c r="D14" s="35" t="str">
        <x:v>建议verified-from-certificate</x:v>
      </x:c>
    </x:row>
    <x:row r="15">
      <x:c r="A15" s="36" t="str">
        <x:v>证书PDF</x:v>
      </x:c>
      <x:c r="B15" s="37" t="str">
        <x:v>certificate_pdf</x:v>
      </x:c>
      <x:c r="C15" s="37" t="str">
        <x:v>不建议公开</x:v>
      </x:c>
      <x:c r="D15" s="38" t="str">
        <x:v>证书含地址等信息，建议仅内部留存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5" hidden="0" customWidth="1"/>
  </x:cols>
  <x:sheetData>
    <x:row r="1">
      <x:c r="A1" s="103" t="str">
        <x:v>项目</x:v>
      </x:c>
      <x:c r="B1" s="103" t="str">
        <x:v>说明</x:v>
      </x:c>
    </x:row>
    <x:row r="2" ht="42" customHeight="1">
      <x:c r="A2" s="30" t="str">
        <x:v>数据来源</x:v>
      </x:c>
      <x:c r="B2" s="32" t="str">
        <x:v>仅依据文件库patents文件夹中当前索引可检索到的授权发明专利证书PDF。</x:v>
      </x:c>
    </x:row>
    <x:row r="3" ht="42" customHeight="1">
      <x:c r="A3" s="33" t="str">
        <x:v>当前数量</x:v>
      </x:c>
      <x:c r="B3" s="35" t="str">
        <x:v>共15份唯一证书；多页证书按专利号去重。</x:v>
      </x:c>
    </x:row>
    <x:row r="4" ht="42" customHeight="1">
      <x:c r="A4" s="33" t="str">
        <x:v>未纳入字段</x:v>
      </x:c>
      <x:c r="B4" s="35" t="str">
        <x:v>地址未纳入索引，也不建议在网站公开展示。</x:v>
      </x:c>
    </x:row>
    <x:row r="5" ht="42" customHeight="1">
      <x:c r="A5" s="33" t="str">
        <x:v>法律状态</x:v>
      </x:c>
      <x:c r="B5" s="35" t="str">
        <x:v>证书证明授权时状态；后续转移、质押、无效、终止、恢复等动态法律状态未做外部核验。</x:v>
      </x:c>
    </x:row>
    <x:row r="6" ht="42" customHeight="1">
      <x:c r="A6" s="33" t="str">
        <x:v>Stable ID规则</x:v>
      </x:c>
      <x:c r="B6" s="35" t="str">
        <x:v>按授权年份及当年授权日期升序编排PYYYY-NN；未来新增专利使用当年下一个未占用序号。</x:v>
      </x:c>
    </x:row>
    <x:row r="7" ht="42" customHeight="1">
      <x:c r="A7" s="33" t="str">
        <x:v>专利号格式</x:v>
      </x:c>
      <x:c r="B7" s="35" t="str">
        <x:v>为便于检索，表中去除了证书排版空格，例如ZL202310625191.X。</x:v>
      </x:c>
    </x:row>
    <x:row r="8" ht="42" customHeight="1">
      <x:c r="A8" s="33" t="str">
        <x:v>授权公告号格式</x:v>
      </x:c>
      <x:c r="B8" s="35" t="str">
        <x:v>为便于检索，表中去除了证书排版空格，例如CN116758937B。</x:v>
      </x:c>
    </x:row>
    <x:row r="9" ht="42" customHeight="1">
      <x:c r="A9" s="33" t="str">
        <x:v>第三专利权人</x:v>
      </x:c>
      <x:c r="B9" s="35" t="str">
        <x:v>P2024-02的第三专利权人名称含双层括号，按证书原文保留。</x:v>
      </x:c>
    </x:row>
    <x:row r="10" ht="42" customHeight="1">
      <x:c r="A10" s="36" t="str">
        <x:v>网站建议</x:v>
      </x:c>
      <x:c r="B10" s="38" t="str">
        <x:v>网站公开页展示名称、发明人、专利权人、专利号、申请日、授权公告日、授权公告号；证书PDF仅内部保存。</x:v>
      </x:c>
    </x:row>
  </x:sheetData>
  <x:pageMargins left="0.7" right="0.7" top="0.75" bottom="0.75" header="0.3" footer="0.3"/>
</x:worksheet>
</file>